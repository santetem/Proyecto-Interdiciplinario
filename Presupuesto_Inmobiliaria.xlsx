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gianc\Downloads\"/>
    </mc:Choice>
  </mc:AlternateContent>
  <bookViews>
    <workbookView xWindow="0" yWindow="0" windowWidth="0" windowHeight="0" activeTab="1"/>
  </bookViews>
  <sheets>
    <sheet name="Por Departamento (Redondeado)" sheetId="1" r:id="rId1"/>
    <sheet name="Presupuesto Integral" sheetId="2" r:id="rId2"/>
  </sheets>
  <calcPr/>
</workbook>
</file>

<file path=xl/calcChain.xml><?xml version="1.0" encoding="utf-8"?>
<calcChain xmlns="http://schemas.openxmlformats.org/spreadsheetml/2006/main">
  <c i="2" l="1" r="G27"/>
  <c r="F27"/>
  <c r="D27"/>
  <c r="G26"/>
  <c r="F26"/>
  <c r="D26"/>
  <c r="G25"/>
  <c r="F25"/>
  <c r="D25"/>
  <c r="F24"/>
  <c r="D24"/>
  <c r="G24"/>
  <c r="F23"/>
  <c r="D23"/>
  <c r="G23"/>
  <c r="F22"/>
  <c r="D22"/>
  <c r="G22"/>
  <c r="F21"/>
  <c r="D21"/>
  <c r="G21"/>
  <c r="F20"/>
  <c r="D20"/>
  <c r="G20"/>
  <c r="F19"/>
  <c r="D19"/>
  <c r="G19"/>
  <c r="F18"/>
  <c r="D18"/>
  <c r="G18"/>
  <c r="F17"/>
  <c r="D17"/>
  <c r="G17"/>
  <c r="F16"/>
  <c r="D16"/>
  <c r="G16"/>
  <c r="F15"/>
  <c r="D15"/>
  <c r="G15"/>
  <c r="F14"/>
  <c r="D14"/>
  <c r="G14"/>
  <c r="F13"/>
  <c r="D13"/>
  <c r="G13"/>
  <c i="1" r="L25"/>
  <c r="J25"/>
  <c r="H25"/>
  <c r="F25"/>
  <c r="D25"/>
  <c r="B25"/>
  <c r="M24"/>
  <c r="K24"/>
  <c r="I24"/>
  <c r="G24"/>
  <c r="E24"/>
  <c r="C24"/>
  <c r="M23"/>
  <c r="K23"/>
  <c r="I23"/>
  <c r="G23"/>
  <c r="E23"/>
  <c r="C23"/>
  <c r="M22"/>
  <c r="K22"/>
  <c r="I22"/>
  <c r="G22"/>
  <c r="E22"/>
  <c r="C22"/>
  <c r="M21"/>
  <c r="K21"/>
  <c r="I21"/>
  <c r="G21"/>
  <c r="E21"/>
  <c r="C21"/>
  <c r="M20"/>
  <c r="K20"/>
  <c r="I20"/>
  <c r="G20"/>
  <c r="E20"/>
  <c r="C20"/>
  <c r="M19"/>
  <c r="K19"/>
  <c r="I19"/>
  <c r="G19"/>
  <c r="E19"/>
  <c r="C19"/>
  <c r="M18"/>
  <c r="K18"/>
  <c r="I18"/>
  <c r="G18"/>
  <c r="E18"/>
  <c r="C18"/>
  <c r="M17"/>
  <c r="K17"/>
  <c r="I17"/>
  <c r="G17"/>
  <c r="E17"/>
  <c r="C17"/>
  <c r="M16"/>
  <c r="K16"/>
  <c r="I16"/>
  <c r="G16"/>
  <c r="E16"/>
  <c r="C16"/>
  <c r="M15"/>
  <c r="K15"/>
  <c r="I15"/>
  <c r="G15"/>
  <c r="E15"/>
  <c r="C15"/>
  <c r="M14"/>
  <c r="K14"/>
  <c r="I14"/>
  <c r="G14"/>
  <c r="E14"/>
  <c r="C14"/>
  <c r="M13"/>
  <c r="K13"/>
  <c r="I13"/>
  <c r="G13"/>
  <c r="E13"/>
  <c r="C13"/>
  <c r="M12"/>
  <c r="K12"/>
  <c r="I12"/>
  <c r="G12"/>
  <c r="E12"/>
  <c r="C12"/>
  <c r="M11"/>
  <c r="K11"/>
  <c r="I11"/>
  <c r="G11"/>
  <c r="E11"/>
  <c r="C11"/>
  <c r="M10"/>
  <c r="K10"/>
  <c r="I10"/>
  <c r="G10"/>
  <c r="E10"/>
  <c r="C10"/>
  <c r="M9"/>
  <c r="K9"/>
  <c r="I9"/>
  <c r="G9"/>
  <c r="E9"/>
  <c r="C9"/>
  <c r="M8"/>
  <c r="K8"/>
  <c r="I8"/>
  <c r="G8"/>
  <c r="E8"/>
  <c r="C8"/>
  <c r="M7"/>
  <c r="K7"/>
  <c r="I7"/>
  <c r="G7"/>
  <c r="E7"/>
  <c r="C7"/>
  <c r="M6"/>
  <c r="K6"/>
  <c r="I6"/>
  <c r="G6"/>
  <c r="E6"/>
  <c r="C6"/>
  <c r="M5"/>
  <c r="K5"/>
  <c r="I5"/>
  <c r="G5"/>
  <c r="E5"/>
  <c r="C5"/>
  <c l="1" r="M25"/>
  <c i="2" r="C12"/>
  <c r="F12"/>
  <c i="1" r="K25"/>
  <c i="2" r="C10"/>
  <c r="F10"/>
  <c i="1" r="I25"/>
  <c i="2" r="C11"/>
  <c r="F11"/>
  <c i="1" r="E25"/>
  <c i="2" r="C8"/>
  <c r="F8"/>
  <c i="1" r="C25"/>
  <c i="2" r="C7"/>
  <c r="F7"/>
  <c i="1" r="G25"/>
  <c i="2" r="C9"/>
  <c r="F9"/>
  <c l="1" r="C5"/>
  <c r="F5"/>
  <c r="C6"/>
  <c r="F6"/>
  <c r="D7"/>
  <c r="G7"/>
  <c r="D12"/>
  <c r="G12"/>
  <c r="D10"/>
  <c r="G10"/>
  <c r="D8"/>
  <c r="G8"/>
  <c r="D11"/>
  <c r="G11"/>
  <c r="D9"/>
  <c r="G9"/>
  <c l="1" r="F28"/>
  <c r="D5"/>
  <c r="G5"/>
  <c r="D6"/>
  <c r="G6"/>
  <c l="1" r="G28"/>
</calcChain>
</file>

<file path=xl/sharedStrings.xml><?xml version="1.0" encoding="utf-8"?>
<sst xmlns="http://schemas.openxmlformats.org/spreadsheetml/2006/main">
  <si>
    <t>DISPOSITIVOS POR DEPARTAMENTO</t>
  </si>
  <si>
    <t>Departamento</t>
  </si>
  <si>
    <t>PCs Tot.</t>
  </si>
  <si>
    <t>PCs / Suc.</t>
  </si>
  <si>
    <t>Tel. IP Tot.</t>
  </si>
  <si>
    <t>Tel. IP / Suc.</t>
  </si>
  <si>
    <t>Impresoras Tot.</t>
  </si>
  <si>
    <t>Impresoras / Suc.</t>
  </si>
  <si>
    <t>Plotters Tot.</t>
  </si>
  <si>
    <t>Plotters / Suc.</t>
  </si>
  <si>
    <t>Imp. 3D Tot.</t>
  </si>
  <si>
    <t>Imp. 3D / Suc.</t>
  </si>
  <si>
    <t>Cámaras Tot.</t>
  </si>
  <si>
    <t>Cámaras / Suc.</t>
  </si>
  <si>
    <t>1. Dirección Comercial</t>
  </si>
  <si>
    <t>2. Tasaciones y Captación</t>
  </si>
  <si>
    <t>3. Ventas Residenciales</t>
  </si>
  <si>
    <t>4. Alquileres y Administración</t>
  </si>
  <si>
    <t>5. Desarrollos e Inversiones</t>
  </si>
  <si>
    <t>6. Marketing Digital</t>
  </si>
  <si>
    <t>7. Legales y Notaría</t>
  </si>
  <si>
    <t>8. Fotografía y Recorridos Virtuales</t>
  </si>
  <si>
    <t>9. Atención al Cliente</t>
  </si>
  <si>
    <t>10. Recursos Humanos</t>
  </si>
  <si>
    <t>11. Contabilidad y Comisiones</t>
  </si>
  <si>
    <t>12. Sistemas e IT</t>
  </si>
  <si>
    <t>13. Soporte a Agentes</t>
  </si>
  <si>
    <t>14. Relaciones Institucionales</t>
  </si>
  <si>
    <t>15. Auditoría de Propiedades</t>
  </si>
  <si>
    <t>16. Capacitación Inmobiliaria</t>
  </si>
  <si>
    <t>17. Gestión de Franquicias</t>
  </si>
  <si>
    <t>18. Inteligencia de Mercado</t>
  </si>
  <si>
    <t>19. Mantenimiento de Propiedades</t>
  </si>
  <si>
    <t>20. Publicidad Exterior</t>
  </si>
  <si>
    <t>TOTALES POR SUCURSAL</t>
  </si>
  <si>
    <t>PRESUPUESTO INTEGRAL, RED E INSTALACIÓN (4 SUCURSALES)</t>
  </si>
  <si>
    <t>Categoría</t>
  </si>
  <si>
    <t>Descripción</t>
  </si>
  <si>
    <t>Cant. x Sucursal</t>
  </si>
  <si>
    <t>Cant. Total (4 Suc.)</t>
  </si>
  <si>
    <t>Precio Unidad (ARS)</t>
  </si>
  <si>
    <t>Subtotal x Sucursal (ARS)</t>
  </si>
  <si>
    <t>Total (ARS)</t>
  </si>
  <si>
    <t>1. Equipamiento Hardware</t>
  </si>
  <si>
    <t>PC Oficina (i3/Celeron, 8GB RAM, SSD 240GB)</t>
  </si>
  <si>
    <t>Monitor LED 19" / 22" HD</t>
  </si>
  <si>
    <t>Kit Teclado + Mouse USB</t>
  </si>
  <si>
    <t>Teléfono IP Básico (Grandstream GXP1610)</t>
  </si>
  <si>
    <t>Impresora Multifunción Láser B/N</t>
  </si>
  <si>
    <t>Impresora 3D de Oficina</t>
  </si>
  <si>
    <t>Plotter de Impresión (24") - 1 x Sucursal</t>
  </si>
  <si>
    <t>Cámara IP Domo HD</t>
  </si>
  <si>
    <t>2. Materiales e Infraestructura de Red</t>
  </si>
  <si>
    <t>Switch Administrable 48 Puertos PoE+ Gigabit</t>
  </si>
  <si>
    <t>Access Point Wi-Fi 6 Empresarial (Mesh/PoE)</t>
  </si>
  <si>
    <t>Rack de Pared/Pie 19" 42U + PDU + Ordenadores</t>
  </si>
  <si>
    <t>Bobina Cable UTP Cat 6 Exterior/Interior (305m)</t>
  </si>
  <si>
    <t>Patch Panels 24/48 Puertos Cat 6 + Conectores RJ45/Jack</t>
  </si>
  <si>
    <t>Patch Cords Cat 6 (1m / 2m / 3m) - Paquete</t>
  </si>
  <si>
    <t>Canaletas, Cablecanal, Cañería e Insumos de Fijación</t>
  </si>
  <si>
    <t>UPS Online 3KVA para Rack Central / Servidor</t>
  </si>
  <si>
    <t>3. Mano de Obra y Certificación</t>
  </si>
  <si>
    <t>Cableado Estructurado y Montaje por Punto de Red</t>
  </si>
  <si>
    <t>Instalación, Armado y Peinado de Racks</t>
  </si>
  <si>
    <t>Certificación Fluke de Puntos de Red Cat 6</t>
  </si>
  <si>
    <t>Configuración de Red, VLANs, Routers, APs y Telefonía IP</t>
  </si>
  <si>
    <t>4. Servicios Recurrentes (Costo Anual)</t>
  </si>
  <si>
    <t>Enlace Fibra Óptica Empresarial Wi-Fi (Anual / Sucursal)</t>
  </si>
  <si>
    <t>Bloque de IP Públicas Fijas (Anual / Sucursal)</t>
  </si>
  <si>
    <t>Mantenimiento Técnico Preventivo/Correctivo (Anual)</t>
  </si>
  <si>
    <t>TOTAL GENERAL INTEGRAL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</si>
</sst>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sz val="11"/>
      <color theme="1"/>
      <name val="Calibri"/>
      <family val="2"/>
      <scheme val="minor"/>
    </font>
    <font>
      <b/>
      <sz val="15"/>
      <color rgb="FF1B365D"/>
      <name val="Segoe UI"/>
    </font>
    <font>
      <i/>
      <sz val="10"/>
      <color rgb="FF666666"/>
      <name val="Segoe UI"/>
    </font>
    <font>
      <b/>
      <sz val="10"/>
      <color rgb="FFFFFFFF"/>
      <name val="Segoe UI"/>
    </font>
    <font>
      <sz val="10"/>
      <color rgb="FF333333"/>
      <name val="Segoe UI"/>
    </font>
    <font>
      <b/>
      <sz val="10"/>
      <color rgb="FF1B365D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E6EEF8"/>
        <bgColor rgb="FFE6EEF8"/>
      </patternFill>
    </fill>
  </fills>
  <borders count="3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top style="thin">
        <color rgb="FF1B365D"/>
      </top>
      <bottom style="double">
        <color rgb="FF1B365D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/>
    </xf>
    <xf numFmtId="0" fontId="5" fillId="4" borderId="2" xfId="0" applyFont="1" applyFill="1" applyBorder="1"/>
    <xf numFmtId="3" fontId="5" fillId="4" borderId="2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5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40" customWidth="1"/>
    <col min="2" max="2" width="16" customWidth="1"/>
    <col min="3" max="3" width="22" customWidth="1"/>
    <col min="4" max="4" width="16" customWidth="1"/>
    <col min="5" max="5" width="22" customWidth="1"/>
    <col min="6" max="6" width="19" customWidth="1"/>
    <col min="7" max="7" width="22" customWidth="1"/>
    <col min="8" max="8" width="17" customWidth="1"/>
    <col min="9" max="9" width="20" customWidth="1"/>
    <col min="10" max="10" width="16" customWidth="1"/>
    <col min="11" max="11" width="22" customWidth="1"/>
    <col min="12" max="12" width="16" customWidth="1"/>
    <col min="13" max="13" width="22" customWidth="1"/>
  </cols>
  <sheetData>
    <row r="1" ht="24">
      <c r="A1" s="1" t="s">
        <v>0</v>
      </c>
    </row>
    <row r="2">
      <c r="A2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>
      <c r="A5" s="4" t="s">
        <v>14</v>
      </c>
      <c r="B5" s="5">
        <v>31</v>
      </c>
      <c r="C5" s="5">
        <f>ROUNDUP(B5/4, 0)</f>
        <v>8</v>
      </c>
      <c r="D5" s="5">
        <v>31</v>
      </c>
      <c r="E5" s="5">
        <f>ROUNDUP(D5/4, 0)</f>
        <v>8</v>
      </c>
      <c r="F5" s="5">
        <v>2</v>
      </c>
      <c r="G5" s="5">
        <f>ROUNDUP(F5/4, 0)</f>
        <v>1</v>
      </c>
      <c r="H5" s="5">
        <v>0</v>
      </c>
      <c r="I5" s="5">
        <f>IF(H5&gt;0, 1, 0)</f>
        <v>0</v>
      </c>
      <c r="J5" s="5">
        <v>3</v>
      </c>
      <c r="K5" s="5">
        <f>ROUNDUP(J5/4, 0)</f>
        <v>1</v>
      </c>
      <c r="L5" s="5">
        <v>3</v>
      </c>
      <c r="M5" s="5">
        <f>ROUNDUP(L5/4, 0)</f>
        <v>1</v>
      </c>
    </row>
    <row r="6">
      <c r="A6" s="6" t="s">
        <v>15</v>
      </c>
      <c r="B6" s="7">
        <v>25</v>
      </c>
      <c r="C6" s="7">
        <f>ROUNDUP(B6/4, 0)</f>
        <v>7</v>
      </c>
      <c r="D6" s="7">
        <v>25</v>
      </c>
      <c r="E6" s="7">
        <f>ROUNDUP(D6/4, 0)</f>
        <v>7</v>
      </c>
      <c r="F6" s="7">
        <v>2</v>
      </c>
      <c r="G6" s="7">
        <f>ROUNDUP(F6/4, 0)</f>
        <v>1</v>
      </c>
      <c r="H6" s="7">
        <v>0</v>
      </c>
      <c r="I6" s="7">
        <f>IF(H6&gt;0, 1, 0)</f>
        <v>0</v>
      </c>
      <c r="J6" s="7">
        <v>0</v>
      </c>
      <c r="K6" s="7">
        <f>ROUNDUP(J6/4, 0)</f>
        <v>0</v>
      </c>
      <c r="L6" s="7">
        <v>3</v>
      </c>
      <c r="M6" s="7">
        <f>ROUNDUP(L6/4, 0)</f>
        <v>1</v>
      </c>
    </row>
    <row r="7">
      <c r="A7" s="4" t="s">
        <v>16</v>
      </c>
      <c r="B7" s="5">
        <v>107</v>
      </c>
      <c r="C7" s="5">
        <f>ROUNDUP(B7/4, 0)</f>
        <v>27</v>
      </c>
      <c r="D7" s="5">
        <v>107</v>
      </c>
      <c r="E7" s="5">
        <f>ROUNDUP(D7/4, 0)</f>
        <v>27</v>
      </c>
      <c r="F7" s="5">
        <v>1</v>
      </c>
      <c r="G7" s="5">
        <f>ROUNDUP(F7/4, 0)</f>
        <v>1</v>
      </c>
      <c r="H7" s="5">
        <v>0</v>
      </c>
      <c r="I7" s="5">
        <f>IF(H7&gt;0, 1, 0)</f>
        <v>0</v>
      </c>
      <c r="J7" s="5">
        <v>2</v>
      </c>
      <c r="K7" s="5">
        <f>ROUNDUP(J7/4, 0)</f>
        <v>1</v>
      </c>
      <c r="L7" s="5">
        <v>3</v>
      </c>
      <c r="M7" s="5">
        <f>ROUNDUP(L7/4, 0)</f>
        <v>1</v>
      </c>
    </row>
    <row r="8">
      <c r="A8" s="6" t="s">
        <v>17</v>
      </c>
      <c r="B8" s="7">
        <v>94</v>
      </c>
      <c r="C8" s="7">
        <f>ROUNDUP(B8/4, 0)</f>
        <v>24</v>
      </c>
      <c r="D8" s="7">
        <v>94</v>
      </c>
      <c r="E8" s="7">
        <f>ROUNDUP(D8/4, 0)</f>
        <v>24</v>
      </c>
      <c r="F8" s="7">
        <v>1</v>
      </c>
      <c r="G8" s="7">
        <f>ROUNDUP(F8/4, 0)</f>
        <v>1</v>
      </c>
      <c r="H8" s="7">
        <v>0</v>
      </c>
      <c r="I8" s="7">
        <f>IF(H8&gt;0, 1, 0)</f>
        <v>0</v>
      </c>
      <c r="J8" s="7">
        <v>0</v>
      </c>
      <c r="K8" s="7">
        <f>ROUNDUP(J8/4, 0)</f>
        <v>0</v>
      </c>
      <c r="L8" s="7">
        <v>3</v>
      </c>
      <c r="M8" s="7">
        <f>ROUNDUP(L8/4, 0)</f>
        <v>1</v>
      </c>
    </row>
    <row r="9">
      <c r="A9" s="4" t="s">
        <v>18</v>
      </c>
      <c r="B9" s="5">
        <v>88</v>
      </c>
      <c r="C9" s="5">
        <f>ROUNDUP(B9/4, 0)</f>
        <v>22</v>
      </c>
      <c r="D9" s="5">
        <v>88</v>
      </c>
      <c r="E9" s="5">
        <f>ROUNDUP(D9/4, 0)</f>
        <v>22</v>
      </c>
      <c r="F9" s="5">
        <v>1</v>
      </c>
      <c r="G9" s="5">
        <f>ROUNDUP(F9/4, 0)</f>
        <v>1</v>
      </c>
      <c r="H9" s="5">
        <v>0</v>
      </c>
      <c r="I9" s="5">
        <f>IF(H9&gt;0, 1, 0)</f>
        <v>0</v>
      </c>
      <c r="J9" s="5">
        <v>0</v>
      </c>
      <c r="K9" s="5">
        <f>ROUNDUP(J9/4, 0)</f>
        <v>0</v>
      </c>
      <c r="L9" s="5">
        <v>3</v>
      </c>
      <c r="M9" s="5">
        <f>ROUNDUP(L9/4, 0)</f>
        <v>1</v>
      </c>
    </row>
    <row r="10">
      <c r="A10" s="6" t="s">
        <v>19</v>
      </c>
      <c r="B10" s="7">
        <v>42</v>
      </c>
      <c r="C10" s="7">
        <f>ROUNDUP(B10/4, 0)</f>
        <v>11</v>
      </c>
      <c r="D10" s="7">
        <v>42</v>
      </c>
      <c r="E10" s="7">
        <f>ROUNDUP(D10/4, 0)</f>
        <v>11</v>
      </c>
      <c r="F10" s="7">
        <v>1</v>
      </c>
      <c r="G10" s="7">
        <f>ROUNDUP(F10/4, 0)</f>
        <v>1</v>
      </c>
      <c r="H10" s="7">
        <v>0</v>
      </c>
      <c r="I10" s="7">
        <f>IF(H10&gt;0, 1, 0)</f>
        <v>0</v>
      </c>
      <c r="J10" s="7">
        <v>1</v>
      </c>
      <c r="K10" s="7">
        <f>ROUNDUP(J10/4, 0)</f>
        <v>1</v>
      </c>
      <c r="L10" s="7">
        <v>3</v>
      </c>
      <c r="M10" s="7">
        <f>ROUNDUP(L10/4, 0)</f>
        <v>1</v>
      </c>
    </row>
    <row r="11">
      <c r="A11" s="4" t="s">
        <v>20</v>
      </c>
      <c r="B11" s="5">
        <v>83</v>
      </c>
      <c r="C11" s="5">
        <f>ROUNDUP(B11/4, 0)</f>
        <v>21</v>
      </c>
      <c r="D11" s="5">
        <v>83</v>
      </c>
      <c r="E11" s="5">
        <f>ROUNDUP(D11/4, 0)</f>
        <v>21</v>
      </c>
      <c r="F11" s="5">
        <v>1</v>
      </c>
      <c r="G11" s="5">
        <f>ROUNDUP(F11/4, 0)</f>
        <v>1</v>
      </c>
      <c r="H11" s="5">
        <v>0</v>
      </c>
      <c r="I11" s="5">
        <f>IF(H11&gt;0, 1, 0)</f>
        <v>0</v>
      </c>
      <c r="J11" s="5">
        <v>1</v>
      </c>
      <c r="K11" s="5">
        <f>ROUNDUP(J11/4, 0)</f>
        <v>1</v>
      </c>
      <c r="L11" s="5">
        <v>3</v>
      </c>
      <c r="M11" s="5">
        <f>ROUNDUP(L11/4, 0)</f>
        <v>1</v>
      </c>
    </row>
    <row r="12">
      <c r="A12" s="6" t="s">
        <v>21</v>
      </c>
      <c r="B12" s="7">
        <v>33</v>
      </c>
      <c r="C12" s="7">
        <f>ROUNDUP(B12/4, 0)</f>
        <v>9</v>
      </c>
      <c r="D12" s="7">
        <v>33</v>
      </c>
      <c r="E12" s="7">
        <f>ROUNDUP(D12/4, 0)</f>
        <v>9</v>
      </c>
      <c r="F12" s="7">
        <v>1</v>
      </c>
      <c r="G12" s="7">
        <f>ROUNDUP(F12/4, 0)</f>
        <v>1</v>
      </c>
      <c r="H12" s="7">
        <v>0</v>
      </c>
      <c r="I12" s="7">
        <f>IF(H12&gt;0, 1, 0)</f>
        <v>0</v>
      </c>
      <c r="J12" s="7">
        <v>0</v>
      </c>
      <c r="K12" s="7">
        <f>ROUNDUP(J12/4, 0)</f>
        <v>0</v>
      </c>
      <c r="L12" s="7">
        <v>3</v>
      </c>
      <c r="M12" s="7">
        <f>ROUNDUP(L12/4, 0)</f>
        <v>1</v>
      </c>
    </row>
    <row r="13">
      <c r="A13" s="4" t="s">
        <v>22</v>
      </c>
      <c r="B13" s="5">
        <v>108</v>
      </c>
      <c r="C13" s="5">
        <f>ROUNDUP(B13/4, 0)</f>
        <v>27</v>
      </c>
      <c r="D13" s="5">
        <v>108</v>
      </c>
      <c r="E13" s="5">
        <f>ROUNDUP(D13/4, 0)</f>
        <v>27</v>
      </c>
      <c r="F13" s="5">
        <v>2</v>
      </c>
      <c r="G13" s="5">
        <f>ROUNDUP(F13/4, 0)</f>
        <v>1</v>
      </c>
      <c r="H13" s="5">
        <v>0</v>
      </c>
      <c r="I13" s="5">
        <f>IF(H13&gt;0, 1, 0)</f>
        <v>0</v>
      </c>
      <c r="J13" s="5">
        <v>2</v>
      </c>
      <c r="K13" s="5">
        <f>ROUNDUP(J13/4, 0)</f>
        <v>1</v>
      </c>
      <c r="L13" s="5">
        <v>3</v>
      </c>
      <c r="M13" s="5">
        <f>ROUNDUP(L13/4, 0)</f>
        <v>1</v>
      </c>
    </row>
    <row r="14">
      <c r="A14" s="6" t="s">
        <v>23</v>
      </c>
      <c r="B14" s="7">
        <v>73</v>
      </c>
      <c r="C14" s="7">
        <f>ROUNDUP(B14/4, 0)</f>
        <v>19</v>
      </c>
      <c r="D14" s="7">
        <v>73</v>
      </c>
      <c r="E14" s="7">
        <f>ROUNDUP(D14/4, 0)</f>
        <v>19</v>
      </c>
      <c r="F14" s="7">
        <v>1</v>
      </c>
      <c r="G14" s="7">
        <f>ROUNDUP(F14/4, 0)</f>
        <v>1</v>
      </c>
      <c r="H14" s="7">
        <v>0</v>
      </c>
      <c r="I14" s="7">
        <f>IF(H14&gt;0, 1, 0)</f>
        <v>0</v>
      </c>
      <c r="J14" s="7">
        <v>0</v>
      </c>
      <c r="K14" s="7">
        <f>ROUNDUP(J14/4, 0)</f>
        <v>0</v>
      </c>
      <c r="L14" s="7">
        <v>3</v>
      </c>
      <c r="M14" s="7">
        <f>ROUNDUP(L14/4, 0)</f>
        <v>1</v>
      </c>
    </row>
    <row r="15">
      <c r="A15" s="4" t="s">
        <v>24</v>
      </c>
      <c r="B15" s="5">
        <v>33</v>
      </c>
      <c r="C15" s="5">
        <f>ROUNDUP(B15/4, 0)</f>
        <v>9</v>
      </c>
      <c r="D15" s="5">
        <v>33</v>
      </c>
      <c r="E15" s="5">
        <f>ROUNDUP(D15/4, 0)</f>
        <v>9</v>
      </c>
      <c r="F15" s="5">
        <v>1</v>
      </c>
      <c r="G15" s="5">
        <f>ROUNDUP(F15/4, 0)</f>
        <v>1</v>
      </c>
      <c r="H15" s="5">
        <v>0</v>
      </c>
      <c r="I15" s="5">
        <f>IF(H15&gt;0, 1, 0)</f>
        <v>0</v>
      </c>
      <c r="J15" s="5">
        <v>1</v>
      </c>
      <c r="K15" s="5">
        <f>ROUNDUP(J15/4, 0)</f>
        <v>1</v>
      </c>
      <c r="L15" s="5">
        <v>3</v>
      </c>
      <c r="M15" s="5">
        <f>ROUNDUP(L15/4, 0)</f>
        <v>1</v>
      </c>
    </row>
    <row r="16">
      <c r="A16" s="6" t="s">
        <v>25</v>
      </c>
      <c r="B16" s="7">
        <v>24</v>
      </c>
      <c r="C16" s="7">
        <f>ROUNDUP(B16/4, 0)</f>
        <v>6</v>
      </c>
      <c r="D16" s="7">
        <v>24</v>
      </c>
      <c r="E16" s="7">
        <f>ROUNDUP(D16/4, 0)</f>
        <v>6</v>
      </c>
      <c r="F16" s="7">
        <v>2</v>
      </c>
      <c r="G16" s="7">
        <f>ROUNDUP(F16/4, 0)</f>
        <v>1</v>
      </c>
      <c r="H16" s="7">
        <v>0</v>
      </c>
      <c r="I16" s="7">
        <f>IF(H16&gt;0, 1, 0)</f>
        <v>0</v>
      </c>
      <c r="J16" s="7">
        <v>0</v>
      </c>
      <c r="K16" s="7">
        <f>ROUNDUP(J16/4, 0)</f>
        <v>0</v>
      </c>
      <c r="L16" s="7">
        <v>3</v>
      </c>
      <c r="M16" s="7">
        <f>ROUNDUP(L16/4, 0)</f>
        <v>1</v>
      </c>
    </row>
    <row r="17">
      <c r="A17" s="4" t="s">
        <v>26</v>
      </c>
      <c r="B17" s="5">
        <v>121</v>
      </c>
      <c r="C17" s="5">
        <f>ROUNDUP(B17/4, 0)</f>
        <v>31</v>
      </c>
      <c r="D17" s="5">
        <v>121</v>
      </c>
      <c r="E17" s="5">
        <f>ROUNDUP(D17/4, 0)</f>
        <v>31</v>
      </c>
      <c r="F17" s="5">
        <v>1</v>
      </c>
      <c r="G17" s="5">
        <f>ROUNDUP(F17/4, 0)</f>
        <v>1</v>
      </c>
      <c r="H17" s="5">
        <v>1</v>
      </c>
      <c r="I17" s="5">
        <f>IF(H17&gt;0, 1, 0)</f>
        <v>1</v>
      </c>
      <c r="J17" s="5">
        <v>1</v>
      </c>
      <c r="K17" s="5">
        <f>ROUNDUP(J17/4, 0)</f>
        <v>1</v>
      </c>
      <c r="L17" s="5">
        <v>3</v>
      </c>
      <c r="M17" s="5">
        <f>ROUNDUP(L17/4, 0)</f>
        <v>1</v>
      </c>
    </row>
    <row r="18">
      <c r="A18" s="6" t="s">
        <v>27</v>
      </c>
      <c r="B18" s="7">
        <v>12</v>
      </c>
      <c r="C18" s="7">
        <f>ROUNDUP(B18/4, 0)</f>
        <v>3</v>
      </c>
      <c r="D18" s="7">
        <v>12</v>
      </c>
      <c r="E18" s="7">
        <f>ROUNDUP(D18/4, 0)</f>
        <v>3</v>
      </c>
      <c r="F18" s="7">
        <v>1</v>
      </c>
      <c r="G18" s="7">
        <f>ROUNDUP(F18/4, 0)</f>
        <v>1</v>
      </c>
      <c r="H18" s="7">
        <v>0</v>
      </c>
      <c r="I18" s="7">
        <f>IF(H18&gt;0, 1, 0)</f>
        <v>0</v>
      </c>
      <c r="J18" s="7">
        <v>1</v>
      </c>
      <c r="K18" s="7">
        <f>ROUNDUP(J18/4, 0)</f>
        <v>1</v>
      </c>
      <c r="L18" s="7">
        <v>3</v>
      </c>
      <c r="M18" s="7">
        <f>ROUNDUP(L18/4, 0)</f>
        <v>1</v>
      </c>
    </row>
    <row r="19">
      <c r="A19" s="4" t="s">
        <v>28</v>
      </c>
      <c r="B19" s="5">
        <v>38</v>
      </c>
      <c r="C19" s="5">
        <f>ROUNDUP(B19/4, 0)</f>
        <v>10</v>
      </c>
      <c r="D19" s="5">
        <v>38</v>
      </c>
      <c r="E19" s="5">
        <f>ROUNDUP(D19/4, 0)</f>
        <v>10</v>
      </c>
      <c r="F19" s="5">
        <v>2</v>
      </c>
      <c r="G19" s="5">
        <f>ROUNDUP(F19/4, 0)</f>
        <v>1</v>
      </c>
      <c r="H19" s="5">
        <v>0</v>
      </c>
      <c r="I19" s="5">
        <f>IF(H19&gt;0, 1, 0)</f>
        <v>0</v>
      </c>
      <c r="J19" s="5">
        <v>3</v>
      </c>
      <c r="K19" s="5">
        <f>ROUNDUP(J19/4, 0)</f>
        <v>1</v>
      </c>
      <c r="L19" s="5">
        <v>3</v>
      </c>
      <c r="M19" s="5">
        <f>ROUNDUP(L19/4, 0)</f>
        <v>1</v>
      </c>
    </row>
    <row r="20">
      <c r="A20" s="6" t="s">
        <v>29</v>
      </c>
      <c r="B20" s="7">
        <v>52</v>
      </c>
      <c r="C20" s="7">
        <f>ROUNDUP(B20/4, 0)</f>
        <v>13</v>
      </c>
      <c r="D20" s="7">
        <v>52</v>
      </c>
      <c r="E20" s="7">
        <f>ROUNDUP(D20/4, 0)</f>
        <v>13</v>
      </c>
      <c r="F20" s="7">
        <v>2</v>
      </c>
      <c r="G20" s="7">
        <f>ROUNDUP(F20/4, 0)</f>
        <v>1</v>
      </c>
      <c r="H20" s="7">
        <v>0</v>
      </c>
      <c r="I20" s="7">
        <f>IF(H20&gt;0, 1, 0)</f>
        <v>0</v>
      </c>
      <c r="J20" s="7">
        <v>1</v>
      </c>
      <c r="K20" s="7">
        <f>ROUNDUP(J20/4, 0)</f>
        <v>1</v>
      </c>
      <c r="L20" s="7">
        <v>3</v>
      </c>
      <c r="M20" s="7">
        <f>ROUNDUP(L20/4, 0)</f>
        <v>1</v>
      </c>
    </row>
    <row r="21">
      <c r="A21" s="4" t="s">
        <v>30</v>
      </c>
      <c r="B21" s="5">
        <v>124</v>
      </c>
      <c r="C21" s="5">
        <f>ROUNDUP(B21/4, 0)</f>
        <v>31</v>
      </c>
      <c r="D21" s="5">
        <v>124</v>
      </c>
      <c r="E21" s="5">
        <f>ROUNDUP(D21/4, 0)</f>
        <v>31</v>
      </c>
      <c r="F21" s="5">
        <v>1</v>
      </c>
      <c r="G21" s="5">
        <f>ROUNDUP(F21/4, 0)</f>
        <v>1</v>
      </c>
      <c r="H21" s="5">
        <v>0</v>
      </c>
      <c r="I21" s="5">
        <f>IF(H21&gt;0, 1, 0)</f>
        <v>0</v>
      </c>
      <c r="J21" s="5">
        <v>0</v>
      </c>
      <c r="K21" s="5">
        <f>ROUNDUP(J21/4, 0)</f>
        <v>0</v>
      </c>
      <c r="L21" s="5">
        <v>3</v>
      </c>
      <c r="M21" s="5">
        <f>ROUNDUP(L21/4, 0)</f>
        <v>1</v>
      </c>
    </row>
    <row r="22">
      <c r="A22" s="6" t="s">
        <v>31</v>
      </c>
      <c r="B22" s="7">
        <v>18</v>
      </c>
      <c r="C22" s="7">
        <f>ROUNDUP(B22/4, 0)</f>
        <v>5</v>
      </c>
      <c r="D22" s="7">
        <v>18</v>
      </c>
      <c r="E22" s="7">
        <f>ROUNDUP(D22/4, 0)</f>
        <v>5</v>
      </c>
      <c r="F22" s="7">
        <v>1</v>
      </c>
      <c r="G22" s="7">
        <f>ROUNDUP(F22/4, 0)</f>
        <v>1</v>
      </c>
      <c r="H22" s="7">
        <v>0</v>
      </c>
      <c r="I22" s="7">
        <f>IF(H22&gt;0, 1, 0)</f>
        <v>0</v>
      </c>
      <c r="J22" s="7">
        <v>1</v>
      </c>
      <c r="K22" s="7">
        <f>ROUNDUP(J22/4, 0)</f>
        <v>1</v>
      </c>
      <c r="L22" s="7">
        <v>3</v>
      </c>
      <c r="M22" s="7">
        <f>ROUNDUP(L22/4, 0)</f>
        <v>1</v>
      </c>
    </row>
    <row r="23">
      <c r="A23" s="4" t="s">
        <v>32</v>
      </c>
      <c r="B23" s="5">
        <v>19</v>
      </c>
      <c r="C23" s="5">
        <f>ROUNDUP(B23/4, 0)</f>
        <v>5</v>
      </c>
      <c r="D23" s="5">
        <v>19</v>
      </c>
      <c r="E23" s="5">
        <f>ROUNDUP(D23/4, 0)</f>
        <v>5</v>
      </c>
      <c r="F23" s="5">
        <v>1</v>
      </c>
      <c r="G23" s="5">
        <f>ROUNDUP(F23/4, 0)</f>
        <v>1</v>
      </c>
      <c r="H23" s="5">
        <v>0</v>
      </c>
      <c r="I23" s="5">
        <f>IF(H23&gt;0, 1, 0)</f>
        <v>0</v>
      </c>
      <c r="J23" s="5">
        <v>1</v>
      </c>
      <c r="K23" s="5">
        <f>ROUNDUP(J23/4, 0)</f>
        <v>1</v>
      </c>
      <c r="L23" s="5">
        <v>3</v>
      </c>
      <c r="M23" s="5">
        <f>ROUNDUP(L23/4, 0)</f>
        <v>1</v>
      </c>
    </row>
    <row r="24">
      <c r="A24" s="6" t="s">
        <v>33</v>
      </c>
      <c r="B24" s="7">
        <v>75</v>
      </c>
      <c r="C24" s="7">
        <f>ROUNDUP(B24/4, 0)</f>
        <v>19</v>
      </c>
      <c r="D24" s="7">
        <v>75</v>
      </c>
      <c r="E24" s="7">
        <f>ROUNDUP(D24/4, 0)</f>
        <v>19</v>
      </c>
      <c r="F24" s="7">
        <v>1</v>
      </c>
      <c r="G24" s="7">
        <f>ROUNDUP(F24/4, 0)</f>
        <v>1</v>
      </c>
      <c r="H24" s="7">
        <v>0</v>
      </c>
      <c r="I24" s="7">
        <f>IF(H24&gt;0, 1, 0)</f>
        <v>0</v>
      </c>
      <c r="J24" s="7">
        <v>0</v>
      </c>
      <c r="K24" s="7">
        <f>ROUNDUP(J24/4, 0)</f>
        <v>0</v>
      </c>
      <c r="L24" s="7">
        <v>3</v>
      </c>
      <c r="M24" s="7">
        <f>ROUNDUP(L24/4, 0)</f>
        <v>1</v>
      </c>
    </row>
    <row r="25" thickBot="1" ht="15.75">
      <c r="A25" s="8" t="s">
        <v>34</v>
      </c>
      <c r="B25" s="9">
        <f>SUM(B5:B24)</f>
        <v>1200</v>
      </c>
      <c r="C25" s="9">
        <f>SUM(C5:C24)</f>
        <v>307</v>
      </c>
      <c r="D25" s="9">
        <f>SUM(D5:D24)</f>
        <v>1200</v>
      </c>
      <c r="E25" s="9">
        <f>SUM(E5:E24)</f>
        <v>307</v>
      </c>
      <c r="F25" s="9">
        <f>SUM(F5:F24)</f>
        <v>26</v>
      </c>
      <c r="G25" s="9">
        <f>SUM(G5:G24)</f>
        <v>20</v>
      </c>
      <c r="H25" s="9">
        <f>SUM(H5:H24)</f>
        <v>1</v>
      </c>
      <c r="I25" s="9">
        <f>SUM(I5:I24)</f>
        <v>1</v>
      </c>
      <c r="J25" s="9">
        <f>SUM(J5:J24)</f>
        <v>18</v>
      </c>
      <c r="K25" s="9">
        <f>SUM(K5:K24)</f>
        <v>12</v>
      </c>
      <c r="L25" s="9">
        <f>SUM(L5:L24)</f>
        <v>60</v>
      </c>
      <c r="M25" s="9">
        <f>SUM(M5:M24)</f>
        <v>20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4" sqref="C4"/>
    </sheetView>
  </sheetViews>
  <sheetFormatPr defaultRowHeight="15"/>
  <cols>
    <col min="1" max="1" width="42" customWidth="1"/>
    <col min="2" max="2" width="60" customWidth="1"/>
    <col min="3" max="3" width="40" customWidth="1"/>
    <col min="4" max="4" width="24" customWidth="1"/>
    <col min="5" max="5" width="22" customWidth="1"/>
    <col min="6" max="6" width="29" customWidth="1"/>
    <col min="7" max="7" width="24" customWidth="1"/>
  </cols>
  <sheetData>
    <row r="1" ht="24">
      <c r="A1" s="1" t="s">
        <v>35</v>
      </c>
    </row>
    <row r="2">
      <c r="A2" s="2"/>
    </row>
    <row r="4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</row>
    <row r="5">
      <c r="A5" s="4" t="s">
        <v>43</v>
      </c>
      <c r="B5" s="4" t="s">
        <v>44</v>
      </c>
      <c r="C5" s="5">
        <f>'Por Departamento (Redondeado)'!C25</f>
        <v>307</v>
      </c>
      <c r="D5" s="5">
        <f>C5*4</f>
        <v>1228</v>
      </c>
      <c r="E5" s="10">
        <v>420000</v>
      </c>
      <c r="F5" s="10">
        <f>C5*E5</f>
        <v>128940000</v>
      </c>
      <c r="G5" s="10">
        <f>D5*E5</f>
        <v>515760000</v>
      </c>
    </row>
    <row r="6">
      <c r="A6" s="6" t="s">
        <v>43</v>
      </c>
      <c r="B6" s="6" t="s">
        <v>45</v>
      </c>
      <c r="C6" s="7">
        <f>'Por Departamento (Redondeado)'!C25</f>
        <v>307</v>
      </c>
      <c r="D6" s="7">
        <f>C6*4</f>
        <v>1228</v>
      </c>
      <c r="E6" s="11">
        <v>135000</v>
      </c>
      <c r="F6" s="11">
        <f>C6*E6</f>
        <v>41445000</v>
      </c>
      <c r="G6" s="11">
        <f>D6*E6</f>
        <v>165780000</v>
      </c>
    </row>
    <row r="7">
      <c r="A7" s="4" t="s">
        <v>43</v>
      </c>
      <c r="B7" s="4" t="s">
        <v>46</v>
      </c>
      <c r="C7" s="5">
        <f>'Por Departamento (Redondeado)'!C25</f>
        <v>307</v>
      </c>
      <c r="D7" s="5">
        <f>C7*4</f>
        <v>1228</v>
      </c>
      <c r="E7" s="10">
        <v>18000</v>
      </c>
      <c r="F7" s="10">
        <f>C7*E7</f>
        <v>5526000</v>
      </c>
      <c r="G7" s="10">
        <f>D7*E7</f>
        <v>22104000</v>
      </c>
    </row>
    <row r="8">
      <c r="A8" s="6" t="s">
        <v>43</v>
      </c>
      <c r="B8" s="6" t="s">
        <v>47</v>
      </c>
      <c r="C8" s="7">
        <f>'Por Departamento (Redondeado)'!E25</f>
        <v>307</v>
      </c>
      <c r="D8" s="7">
        <f>C8*4</f>
        <v>1228</v>
      </c>
      <c r="E8" s="11">
        <v>75000</v>
      </c>
      <c r="F8" s="11">
        <f>C8*E8</f>
        <v>23025000</v>
      </c>
      <c r="G8" s="11">
        <f>D8*E8</f>
        <v>92100000</v>
      </c>
    </row>
    <row r="9">
      <c r="A9" s="4" t="s">
        <v>43</v>
      </c>
      <c r="B9" s="4" t="s">
        <v>48</v>
      </c>
      <c r="C9" s="5">
        <f>'Por Departamento (Redondeado)'!G25</f>
        <v>20</v>
      </c>
      <c r="D9" s="5">
        <f>C9*4</f>
        <v>80</v>
      </c>
      <c r="E9" s="10">
        <v>480000</v>
      </c>
      <c r="F9" s="10">
        <f>C9*E9</f>
        <v>9600000</v>
      </c>
      <c r="G9" s="10">
        <f>D9*E9</f>
        <v>38400000</v>
      </c>
    </row>
    <row r="10">
      <c r="A10" s="6" t="s">
        <v>43</v>
      </c>
      <c r="B10" s="6" t="s">
        <v>49</v>
      </c>
      <c r="C10" s="7">
        <f>'Por Departamento (Redondeado)'!K25</f>
        <v>12</v>
      </c>
      <c r="D10" s="7">
        <f>C10*4</f>
        <v>48</v>
      </c>
      <c r="E10" s="11">
        <v>550000</v>
      </c>
      <c r="F10" s="11">
        <f>C10*E10</f>
        <v>6600000</v>
      </c>
      <c r="G10" s="11">
        <f>D10*E10</f>
        <v>26400000</v>
      </c>
    </row>
    <row r="11">
      <c r="A11" s="4" t="s">
        <v>43</v>
      </c>
      <c r="B11" s="4" t="s">
        <v>50</v>
      </c>
      <c r="C11" s="5">
        <f>'Por Departamento (Redondeado)'!I25</f>
        <v>1</v>
      </c>
      <c r="D11" s="5">
        <f>C11*4</f>
        <v>4</v>
      </c>
      <c r="E11" s="10">
        <v>2100000</v>
      </c>
      <c r="F11" s="10">
        <f>C11*E11</f>
        <v>2100000</v>
      </c>
      <c r="G11" s="10">
        <f>D11*E11</f>
        <v>8400000</v>
      </c>
    </row>
    <row r="12">
      <c r="A12" s="6" t="s">
        <v>43</v>
      </c>
      <c r="B12" s="6" t="s">
        <v>51</v>
      </c>
      <c r="C12" s="7">
        <f>'Por Departamento (Redondeado)'!M25</f>
        <v>20</v>
      </c>
      <c r="D12" s="7">
        <f>C12*4</f>
        <v>80</v>
      </c>
      <c r="E12" s="11">
        <v>45000</v>
      </c>
      <c r="F12" s="11">
        <f>C12*E12</f>
        <v>900000</v>
      </c>
      <c r="G12" s="11">
        <f>D12*E12</f>
        <v>3600000</v>
      </c>
    </row>
    <row r="13">
      <c r="A13" s="4" t="s">
        <v>52</v>
      </c>
      <c r="B13" s="4" t="s">
        <v>53</v>
      </c>
      <c r="C13" s="5">
        <v>13</v>
      </c>
      <c r="D13" s="5">
        <f>C13*4</f>
        <v>52</v>
      </c>
      <c r="E13" s="10">
        <v>1150000</v>
      </c>
      <c r="F13" s="10">
        <f>C13*E13</f>
        <v>14950000</v>
      </c>
      <c r="G13" s="10">
        <f>D13*E13</f>
        <v>59800000</v>
      </c>
    </row>
    <row r="14">
      <c r="A14" s="6" t="s">
        <v>52</v>
      </c>
      <c r="B14" s="6" t="s">
        <v>54</v>
      </c>
      <c r="C14" s="7">
        <v>8</v>
      </c>
      <c r="D14" s="7">
        <f>C14*4</f>
        <v>32</v>
      </c>
      <c r="E14" s="11">
        <v>220000</v>
      </c>
      <c r="F14" s="11">
        <f>C14*E14</f>
        <v>1760000</v>
      </c>
      <c r="G14" s="11">
        <f>D14*E14</f>
        <v>7040000</v>
      </c>
    </row>
    <row r="15">
      <c r="A15" s="4" t="s">
        <v>52</v>
      </c>
      <c r="B15" s="4" t="s">
        <v>55</v>
      </c>
      <c r="C15" s="5">
        <v>2</v>
      </c>
      <c r="D15" s="5">
        <f>C15*4</f>
        <v>8</v>
      </c>
      <c r="E15" s="10">
        <v>680000</v>
      </c>
      <c r="F15" s="10">
        <f>C15*E15</f>
        <v>1360000</v>
      </c>
      <c r="G15" s="10">
        <f>D15*E15</f>
        <v>5440000</v>
      </c>
    </row>
    <row r="16">
      <c r="A16" s="6" t="s">
        <v>52</v>
      </c>
      <c r="B16" s="6" t="s">
        <v>56</v>
      </c>
      <c r="C16" s="7">
        <v>12</v>
      </c>
      <c r="D16" s="7">
        <f>C16*4</f>
        <v>48</v>
      </c>
      <c r="E16" s="11">
        <v>145000</v>
      </c>
      <c r="F16" s="11">
        <f>C16*E16</f>
        <v>1740000</v>
      </c>
      <c r="G16" s="11">
        <f>D16*E16</f>
        <v>6960000</v>
      </c>
    </row>
    <row r="17">
      <c r="A17" s="4" t="s">
        <v>52</v>
      </c>
      <c r="B17" s="4" t="s">
        <v>57</v>
      </c>
      <c r="C17" s="5">
        <v>14</v>
      </c>
      <c r="D17" s="5">
        <f>C17*4</f>
        <v>56</v>
      </c>
      <c r="E17" s="10">
        <v>185000</v>
      </c>
      <c r="F17" s="10">
        <f>C17*E17</f>
        <v>2590000</v>
      </c>
      <c r="G17" s="10">
        <f>D17*E17</f>
        <v>10360000</v>
      </c>
    </row>
    <row r="18">
      <c r="A18" s="6" t="s">
        <v>52</v>
      </c>
      <c r="B18" s="6" t="s">
        <v>58</v>
      </c>
      <c r="C18" s="7">
        <v>350</v>
      </c>
      <c r="D18" s="7">
        <f>C18*4</f>
        <v>1400</v>
      </c>
      <c r="E18" s="11">
        <v>4500</v>
      </c>
      <c r="F18" s="11">
        <f>C18*E18</f>
        <v>1575000</v>
      </c>
      <c r="G18" s="11">
        <f>D18*E18</f>
        <v>6300000</v>
      </c>
    </row>
    <row r="19">
      <c r="A19" s="4" t="s">
        <v>52</v>
      </c>
      <c r="B19" s="4" t="s">
        <v>59</v>
      </c>
      <c r="C19" s="5">
        <v>1</v>
      </c>
      <c r="D19" s="5">
        <f>C19*4</f>
        <v>4</v>
      </c>
      <c r="E19" s="10">
        <v>2800000</v>
      </c>
      <c r="F19" s="10">
        <f>C19*E19</f>
        <v>2800000</v>
      </c>
      <c r="G19" s="10">
        <f>D19*E19</f>
        <v>11200000</v>
      </c>
    </row>
    <row r="20">
      <c r="A20" s="6" t="s">
        <v>52</v>
      </c>
      <c r="B20" s="6" t="s">
        <v>60</v>
      </c>
      <c r="C20" s="7">
        <v>2</v>
      </c>
      <c r="D20" s="7">
        <f>C20*4</f>
        <v>8</v>
      </c>
      <c r="E20" s="11">
        <v>1650000</v>
      </c>
      <c r="F20" s="11">
        <f>C20*E20</f>
        <v>3300000</v>
      </c>
      <c r="G20" s="11">
        <f>D20*E20</f>
        <v>13200000</v>
      </c>
    </row>
    <row r="21">
      <c r="A21" s="4" t="s">
        <v>61</v>
      </c>
      <c r="B21" s="4" t="s">
        <v>62</v>
      </c>
      <c r="C21" s="5">
        <v>650</v>
      </c>
      <c r="D21" s="5">
        <f>C21*4</f>
        <v>2600</v>
      </c>
      <c r="E21" s="10">
        <v>22000</v>
      </c>
      <c r="F21" s="10">
        <f>C21*E21</f>
        <v>14300000</v>
      </c>
      <c r="G21" s="10">
        <f>D21*E21</f>
        <v>57200000</v>
      </c>
    </row>
    <row r="22">
      <c r="A22" s="6" t="s">
        <v>61</v>
      </c>
      <c r="B22" s="6" t="s">
        <v>63</v>
      </c>
      <c r="C22" s="7">
        <v>2</v>
      </c>
      <c r="D22" s="7">
        <f>C22*4</f>
        <v>8</v>
      </c>
      <c r="E22" s="11">
        <v>450000</v>
      </c>
      <c r="F22" s="11">
        <f>C22*E22</f>
        <v>900000</v>
      </c>
      <c r="G22" s="11">
        <f>D22*E22</f>
        <v>3600000</v>
      </c>
    </row>
    <row r="23">
      <c r="A23" s="4" t="s">
        <v>61</v>
      </c>
      <c r="B23" s="4" t="s">
        <v>64</v>
      </c>
      <c r="C23" s="5">
        <v>650</v>
      </c>
      <c r="D23" s="5">
        <f>C23*4</f>
        <v>2600</v>
      </c>
      <c r="E23" s="10">
        <v>8500</v>
      </c>
      <c r="F23" s="10">
        <f>C23*E23</f>
        <v>5525000</v>
      </c>
      <c r="G23" s="10">
        <f>D23*E23</f>
        <v>22100000</v>
      </c>
    </row>
    <row r="24">
      <c r="A24" s="6" t="s">
        <v>61</v>
      </c>
      <c r="B24" s="6" t="s">
        <v>65</v>
      </c>
      <c r="C24" s="7">
        <v>1</v>
      </c>
      <c r="D24" s="7">
        <f>C24*4</f>
        <v>4</v>
      </c>
      <c r="E24" s="11">
        <v>1800000</v>
      </c>
      <c r="F24" s="11">
        <f>C24*E24</f>
        <v>1800000</v>
      </c>
      <c r="G24" s="11">
        <f>D24*E24</f>
        <v>7200000</v>
      </c>
    </row>
    <row r="25">
      <c r="A25" s="4" t="s">
        <v>66</v>
      </c>
      <c r="B25" s="4" t="s">
        <v>67</v>
      </c>
      <c r="C25" s="5">
        <v>1</v>
      </c>
      <c r="D25" s="5">
        <f>C25*4</f>
        <v>4</v>
      </c>
      <c r="E25" s="10">
        <v>2160000</v>
      </c>
      <c r="F25" s="10">
        <f>C25*E25</f>
        <v>2160000</v>
      </c>
      <c r="G25" s="10">
        <f>D25*E25</f>
        <v>8640000</v>
      </c>
    </row>
    <row r="26">
      <c r="A26" s="6" t="s">
        <v>66</v>
      </c>
      <c r="B26" s="6" t="s">
        <v>68</v>
      </c>
      <c r="C26" s="7">
        <v>1</v>
      </c>
      <c r="D26" s="7">
        <f>C26*4</f>
        <v>4</v>
      </c>
      <c r="E26" s="11">
        <v>540000</v>
      </c>
      <c r="F26" s="11">
        <f>C26*E26</f>
        <v>540000</v>
      </c>
      <c r="G26" s="11">
        <f>D26*E26</f>
        <v>2160000</v>
      </c>
    </row>
    <row r="27">
      <c r="A27" s="4" t="s">
        <v>66</v>
      </c>
      <c r="B27" s="4" t="s">
        <v>69</v>
      </c>
      <c r="C27" s="5">
        <v>1</v>
      </c>
      <c r="D27" s="5">
        <f>C27*4</f>
        <v>4</v>
      </c>
      <c r="E27" s="10">
        <v>2400000</v>
      </c>
      <c r="F27" s="10">
        <f>C27*E27</f>
        <v>2400000</v>
      </c>
      <c r="G27" s="10">
        <f>D27*E27</f>
        <v>9600000</v>
      </c>
    </row>
    <row r="28" thickBot="1" ht="15.75">
      <c r="A28" s="8" t="s">
        <v>70</v>
      </c>
      <c r="B28" s="8"/>
      <c r="C28" s="8"/>
      <c r="D28" s="8"/>
      <c r="E28" s="8"/>
      <c r="F28" s="12">
        <f>SUM(F5:F27)</f>
        <v>275836000</v>
      </c>
      <c r="G28" s="12">
        <f>SUM(G5:G27)</f>
        <v>1103344000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Gian 12008</cp:lastModifiedBy>
  <dcterms:created xsi:type="dcterms:W3CDTF">2026-09-03T02:50:15Z</dcterms:created>
  <dcterms:modified xsi:type="dcterms:W3CDTF">2026-09-03T02:54:23Z</dcterms:modified>
</cp:coreProperties>
</file>